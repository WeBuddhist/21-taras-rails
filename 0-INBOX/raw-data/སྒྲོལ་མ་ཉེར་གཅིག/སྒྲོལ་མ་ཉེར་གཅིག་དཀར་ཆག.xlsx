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vCl2rlmTpyzaviLAoaEvnAbae+pHLeSuMKIUb5o9sKE="/>
    </ext>
  </extLst>
</workbook>
</file>

<file path=xl/sharedStrings.xml><?xml version="1.0" encoding="utf-8"?>
<sst xmlns="http://schemas.openxmlformats.org/spreadsheetml/2006/main" count="165" uniqueCount="133">
  <si>
    <t>དཀར་ཆག</t>
  </si>
  <si>
    <t>ཡིག་ཆ་ཉེར་གཅིག་ལས་ཉིས་བརྩེགས་བཞི་བསལ་ཏེ་བཅུ་དྲུག་བཞག །རྩོམ་པ་པོ་མཇུག་བྱང་ནས་ངེས།</t>
  </si>
  <si>
    <t>ཨང་།</t>
  </si>
  <si>
    <t>ཡིག་ཆའི་མཚན་བྱང་།</t>
  </si>
  <si>
    <t>རྩོམ་པ་པོ།</t>
  </si>
  <si>
    <t>རིགས།</t>
  </si>
  <si>
    <t>ཆོས་བརྒྱུད་/ལུགས།</t>
  </si>
  <si>
    <t>དྲན་གསོ།</t>
  </si>
  <si>
    <t>ཡིག་ཆའི་དྲ་ཐག</t>
  </si>
  <si>
    <t>ཡང་དག་པ་རྫོགས་པའི་སངས་རྒྱས་རྣམ་པར་སྣང་མཛད་ཀྱིས་གསུངས་པ་འཕགས་མ་སྒྲོལ་མ་ལ་བསྟོད་པ་ཕྱག་འཚལ་བ་ཉི་ཤུ་རྩ་གཅིག</t>
  </si>
  <si>
    <t>སངས་རྒྱས་བཅོམ་ལྡན་འདས (རྣམ་པར་སྣང་མཛད)</t>
  </si>
  <si>
    <t>རྩ་བ།</t>
  </si>
  <si>
    <t>བཀའ་འགྱུར།</t>
  </si>
  <si>
    <t>རྩ་བའི་བསྟོད་པ་དངོས། (ཏོ་ཧོ་ ༤༣༨)</t>
  </si>
  <si>
    <t>སྒྲོལ་མ་ཕྱག་འཚལ་ཉི་ཤུ་རྩ་གཅིག་གི་བསྟོད་པའི་རྣམ་བཤད་གསལ་བའི་འོད་ཟེར</t>
  </si>
  <si>
    <t>རྗེ་བཙུན་གྲགས་པ་རྒྱལ་མཚན</t>
  </si>
  <si>
    <t>རྣམ་བཤད།</t>
  </si>
  <si>
    <t>ས་སྐྱ།</t>
  </si>
  <si>
    <t>ཀླུ་སྒྲུབ་ནས་བརྒྱུད། གཉན་ལོ་ཙཱས་བསྒྱུར། གྲགས་རྒྱལ་གྱིས་གཏན་ལ་ཕབ།</t>
  </si>
  <si>
    <t>སྒྲོལ་མ་ཕྱག་འཚལ་ཉེར་གཅིག་གི་ཊཱིཀྐ་རིན་པོ་ཆེའི་ཕྲེང་བ</t>
  </si>
  <si>
    <t>རྒྱལ་བ་དགེ་འདུན་གྲུབ (ཏཱ་ལའི་བླ་མ་སྐུ་ཕྲེང་དང་པོ)</t>
  </si>
  <si>
    <t>ཊཱིཀྐ</t>
  </si>
  <si>
    <t>དགེ་ལུགས།</t>
  </si>
  <si>
    <t>ཕྱག་འཚལ་སྒྲོལ་མ་ཉེར་གཅིག་མའི་རྣམ་བཤད (གསུང་འབུམ་ཐོར་བུ་ལས)</t>
  </si>
  <si>
    <t>རྒྱལ་བ་དགེ་འདུན་རྒྱ་མཚོ (ཏཱ་ལའི་བླ་མ་སྐུ་ཕྲེང་གཉིས་པ)</t>
  </si>
  <si>
    <t>རྒྱལ་མཚན་ལྷུན་པོའི་དབེན་གནས་སུ་སྦྱར།</t>
  </si>
  <si>
    <t>ཕྱག་འཚལ་ཉེར་གཅིག་གི་བསྟོད་པའི་རྣམ་པར་བཤད་པ</t>
  </si>
  <si>
    <t>ཏཱ་ར་ནཱ་ཐ</t>
  </si>
  <si>
    <t>ཇོ་ནང་།</t>
  </si>
  <si>
    <t>མཇུག་བྱང་། ཏཱ་ར་ནཱ་ཐས་སྨྲས་པའོ།</t>
  </si>
  <si>
    <t>སྒྲོལ་མར་ཕྱག་འཚལ་ཉེར་གཅིག་གིས་བསྟོད་པའི་རྣམ་བཤད་ཡིད་འཕྲོག་ཨུཏྤལའི་ཆུན་པོ</t>
  </si>
  <si>
    <t>དངུལ་ཆུ་དྷརྨ་བྷ་དྲ</t>
  </si>
  <si>
    <t>དངུལ་ཆུའི་རི་སྦུག་ཏུ་སྦྱར།</t>
  </si>
  <si>
    <t>འདིར་མེད་པའི་སྒྲོལ་མ་ཉེར་གཅིག་བསྟོད་འགྲེལ་གཞན།</t>
  </si>
  <si>
    <t>མཚན་བྱང་།</t>
  </si>
  <si>
    <t>ལུགས།</t>
  </si>
  <si>
    <t>BDRC/ཁུངས།</t>
  </si>
  <si>
    <t>སྒྲོལ་མའི་སྒྲུབ་ཐབས (ཉི་མ་སྦས་པའི་ལུགས་ཀྱི་སྐུ་ཉེར་གཅིག)</t>
  </si>
  <si>
    <t>ཉི་མ་སྦས་པ (སཱུརྱ་གུཔྟ)</t>
  </si>
  <si>
    <t>སྒྲུབ་ཐབས།</t>
  </si>
  <si>
    <t>ཉི་མ་སྦས་པ།</t>
  </si>
  <si>
    <t>སྒྲུབ་ཐབས་ཀུན་བཏུས W23681</t>
  </si>
  <si>
    <t>ལུགས་འདིའི་རྒྱ་གར་གྱི་ཁུངས།</t>
  </si>
  <si>
    <t>སྒྲོལ་མའི་རྒྱུད་ཀྱི་བྱུང་ཁུངས་གསལ་བར་བྱེད་པའི་ལོ་རྒྱུས་གསེར་གྱི་ཕྲེང་བ</t>
  </si>
  <si>
    <t>ལོ་རྒྱུས།</t>
  </si>
  <si>
    <t>BDRC W3CN5063</t>
  </si>
  <si>
    <t>སྒྲོལ་མའི་རྒྱུད་ཀྱི་ལོ་རྒྱུས།</t>
  </si>
  <si>
    <t>ཕྱག་འཚལ་ཉེར་གཅིག་མའི་ཊིཀྐ་འཕགས་མའི་ཞལ་ལུང</t>
  </si>
  <si>
    <t>ཕྱག་འཚལ་ཉེར་གཅིག་གི་སྒོ་ནས་བསྟོད་པའི་རྣམ་བཤད (སྦས་དོན)</t>
  </si>
  <si>
    <t>དཀོན་མཆོག་ཐབས་མཁས (མིང་གཞན་བསྟན་པ་རྒྱ་མཚོ)</t>
  </si>
  <si>
    <t>འགྲེལ་པ།</t>
  </si>
  <si>
    <t>ཊིཀྐ</t>
  </si>
  <si>
    <t>BDRC W22277</t>
  </si>
  <si>
    <t>སྦས་དོན་གྱི་འགྲེལ་པ། (Explicit &amp; Hidden)</t>
  </si>
  <si>
    <t>གྲུབ་ཆེན་ཉི་མ་སྦས་པའི་ལུགས་ཀྱི་སྒྲོལ་མ་སྤྱི་སྒྲུབ་ཀྱི་མངོན་རྟོགས</t>
  </si>
  <si>
    <t>འཇམ་དབྱངས་མཁྱེན་བརྩེའི་དབང་པོ</t>
  </si>
  <si>
    <t>Khyentse Vision B594</t>
  </si>
  <si>
    <t>ཉི་མ་སྦས་པའི་ལུགས་ཀྱི་སྒྲུབ་ཐབས།</t>
  </si>
  <si>
    <t>བྱམས་པ་གླིང་། ཐུའུ་བཀྭན་བླ་བྲང་དུ་སྦྱར།</t>
  </si>
  <si>
    <t>རྗེ་བཙུན་སྒྲོལ་མའི་ཆོ་ག་དང་བསྟོད་འགྲེལ་ལྕགས་ཀྱུ</t>
  </si>
  <si>
    <t>བློ་བཟང་དགོངས་རྒྱན (ཕྱོགས་སྒྲིག)</t>
  </si>
  <si>
    <t>ཆོ་ག་/འགྲེལ།</t>
  </si>
  <si>
    <t>BDRC W1KG23703</t>
  </si>
  <si>
    <t>འབྲས་སྤུངས་བློ་གསལ་གླིང་ཕྱོགས་སྒྲིག</t>
  </si>
  <si>
    <t>ཇོ་བོ་ལུགས་ཀྱི་སྒྲོལ་མ་ཉེར་གཅིག་གི་བརྒྱུད་འདེབས་སོགས</t>
  </si>
  <si>
    <t>ཇོ་བོ་རྗེ་དཔལ་ལྡན་ཨ་ཏི་ཤ</t>
  </si>
  <si>
    <t>བཀའ་གདམས།</t>
  </si>
  <si>
    <t>Khyentse Lineage (Tsadra)</t>
  </si>
  <si>
    <t>སྤྱི་གྲགས་ཇོ་བོ་ལུགས་ཀྱི་བརྒྱུད་པ།</t>
  </si>
  <si>
    <t>སྒྲོལ་མ་ཡིད་བཞིན་འཁོར་ལོའི་སྒྲུབ་ཐབས (ཀློང་ཆེན་སྙིང་ཐིག)</t>
  </si>
  <si>
    <t>འཇིགས་མེད་གླིང་པ</t>
  </si>
  <si>
    <t>རྙིང་མ།</t>
  </si>
  <si>
    <t>Lotsawa House</t>
  </si>
  <si>
    <t>ཕྱག་འཚལ་ཉེར་གཅིག་གི་ཕན་ཡོན་དང་བཅས་པ་གསལ་བའི་མེ་ལོང</t>
  </si>
  <si>
    <t>སྙིང་ཐིག་ལུགས་ཀྱི་སྒྲོལ་མ་ཉེར་གཅིག</t>
  </si>
  <si>
    <t>རྡོར་སློབ་བསྟན་དགའ་སྤྲུལ</t>
  </si>
  <si>
    <t>སྒྲོལ་མ་འཇིགས་པ་ཀུན་སེལ (མཆོག་གླིང་གཏེར་གསར)</t>
  </si>
  <si>
    <t>འགྲེལ་པ། (ཕན་ཡོན)</t>
  </si>
  <si>
    <t>མཆོག་གྱུར་གླིང་པ / ཀོང་སྤྲུལ / མཁྱེན་བརྩེ</t>
  </si>
  <si>
    <t>གཏེར་ཆོས།</t>
  </si>
  <si>
    <t>ཉི་མ་སྦས་པའི་ལུགས།</t>
  </si>
  <si>
    <t>Rinchen Terdzö</t>
  </si>
  <si>
    <t>དབང་ཆོག་བཅས་ཡོད།</t>
  </si>
  <si>
    <t>སྒྲོལ་མ་ཉེར་གཅིག་གི་སྐུ་མདོག་ཕྱག་མཚན་བཀོད།</t>
  </si>
  <si>
    <t>ཊིཀྐ་གཞན (སྒྲོལ་མ་ཉེར་གཅིག) — པཎ་ཆེན་བློ་བཟང་ཆོས་རྒྱན</t>
  </si>
  <si>
    <t>པཎ་ཆེན་བློ་བཟང་ཆོས་ཀྱི་རྒྱལ་མཚན</t>
  </si>
  <si>
    <t>BDRC (verify)</t>
  </si>
  <si>
    <t>ཞིབ་འཇུག་དགོས། (verify)</t>
  </si>
  <si>
    <t>སྒྲོལ་མ་ཉེར་གཅིག་གི་བསྟོད་འགྲེལ (མི་ཕམ)</t>
  </si>
  <si>
    <t>མི་ཕམ་རྒྱ་མཚོ</t>
  </si>
  <si>
    <t>BDRC W2DB16631 (verify)</t>
  </si>
  <si>
    <t>མི་ཕམ་གྱི་གསུང་འབུམ་ནང་།</t>
  </si>
  <si>
    <t>In Praise of Tārā: Songs to the Saviouress</t>
  </si>
  <si>
    <t>Martin Willson</t>
  </si>
  <si>
    <t>དཔྱད་གཞི། (English)</t>
  </si>
  <si>
    <t>—</t>
  </si>
  <si>
    <t>སྒྲོལ་མ་ཉེར་གཅིག་པའི་བསྟོད་འགྲེལ་འཕྲིན་ལས་ཆར་དུ་སྙིལ་བའི་སྤྲིན་ཕུང</t>
  </si>
  <si>
    <t>Wisdom 1986</t>
  </si>
  <si>
    <t>རྒྱ་གར་/བོད་ཀྱི་འགྲེལ་བའི་དཔྱད་གཞི་ཡག་ཤོས།</t>
  </si>
  <si>
    <t>(མཇུག་བྱང་མི་གསལ)</t>
  </si>
  <si>
    <t>བསྟོད་འགྲེལ།</t>
  </si>
  <si>
    <t>ཉི་མ་སྦས་པའི་གཞུང་མང་དུ་དྲངས། མཇུག་བྱང་མེད།</t>
  </si>
  <si>
    <t>ཕྱག་འཚལ་ཉེར་གཅིག་གི་བསྟོད་འགྲེལ་བདུད་རྩིའི་དགའ་ཚལ</t>
  </si>
  <si>
    <t>ལྡོམ་བུ་བ་པདྨ་རྣམ་པར་རྒྱལ་བ</t>
  </si>
  <si>
    <t>ཨརྨེ་རིག་འཛིན་རྣམ་རྒྱལ་གྱི་བསྐུལ་ངོར་བྲིས།</t>
  </si>
  <si>
    <t>ཕྱག་འཚལ་སྒྲོལ་མ་ཉེར་གཅིག་གི་བསྟོད་པའི་བསྡུས་འགྲེལ</t>
  </si>
  <si>
    <t>ཀརྨ་མཻ་ཏྲི</t>
  </si>
  <si>
    <t>བསྡུས་འགྲེལ།</t>
  </si>
  <si>
    <t>མཁས་གྲུབ་ཀྱི་གསུང་ལས་ཟིན་ཐོར་བྲིས།</t>
  </si>
  <si>
    <t>རྗེ་བཙུན་སྒྲོལ་མའི་བསྟོད་པ་ཉི་ཤུ་རྩ་གཅིག་གི་ཚིག་དོན་རྣམ་པར་འགྲེལ་བ་ཐབས་ཤེས་ཉི་ཟླའི་འཛུམ་རླབས</t>
  </si>
  <si>
    <t>མཁན་ཆེན་དཔལ་ལྡན་ཤེས་རབ</t>
  </si>
  <si>
    <t>འགྲེལ་བ།</t>
  </si>
  <si>
    <t>ཨ་རིར་སྤྱི་ལོ་ ༡༩༩༧ ལ་སྦྱར།</t>
  </si>
  <si>
    <t>སྒྲོལ་མ་ཉེར་གཅིག་གི་བསྟོད་འགྲེལ་སྙིང་གི་ནོར་བུ</t>
  </si>
  <si>
    <t>སེར་སྨད་གཙང་དགེ་བཤེས་བསྟན་འཛིན་དོན་བཟང</t>
  </si>
  <si>
    <t>དེང་རབས། སེར་སྨད་གྲྭ་ཚང་།</t>
  </si>
  <si>
    <t>སྒྲོལ་མ་ཕྱག་འཚལ་ཉེར་གཅིག་གི་མཆན་འགྲེལ</t>
  </si>
  <si>
    <t>དགེ་བཤེས་བློ་བཟང་ཟླ་བ (རྩོམ་སྒྲིག)</t>
  </si>
  <si>
    <t>མཆན་འགྲེལ།</t>
  </si>
  <si>
    <t>སྤྱི་ལོ་ ༢༠༠༨ ལ་རྩོམ་སྒྲིག་བྱས།</t>
  </si>
  <si>
    <t>རྗེ་བཙུན་མ་སྒྲོལ་མ་ཉི་ཤུ་རྩ་གཅིག་གི་ཚིག་འགྲེལ་དང་དམིགས་རིམ་འཕགས་མའི་བྱིན་རླབས་གྲུ་ཆར</t>
  </si>
  <si>
    <t>སངས་རྒྱས་མཉན་སྤྲུལ</t>
  </si>
  <si>
    <t>ཚིག་འགྲེལ་/དམིགས་རིམ།</t>
  </si>
  <si>
    <t>ཏཱ་ར་ནཱ་ཐ/འཇིགས་གླིང་/བསྟན་འཛིན་རབ་རྒྱས་ཀྱི་འགྲེལ་པ་གཞིར་བཞག</t>
  </si>
  <si>
    <t>སྒྲོལ་མ་ཉི་ཤུ་རྩ་གཅིག་གི་རྣམ་བཤད</t>
  </si>
  <si>
    <t>འབྲས་ཕ་ར་གྲྭ་སྨད་གསུང་རབ་སྤྲུལ་སྐུ</t>
  </si>
  <si>
    <t>དགེ་ལུགས། (དེང་རབས)</t>
  </si>
  <si>
    <t>སྤྱི་ལོ་ ༢༠༢༣ ལ་ཐེ་ཝན་འབྲས་སྤུངས་བློ་གསལ་གླིང་དུ་སྦྱར།</t>
  </si>
  <si>
    <t>སྒྲོལ་འགྲེལ་ཚོགས་གཉིས་རྒྱ་མཚོར་འཇུག་པའི་གྲུ་གཟིངས</t>
  </si>
  <si>
    <t>མཁན་པོ་ཚུལ་ཁྲིམས་རྣམ་དག</t>
  </si>
  <si>
    <t xml:space="preserve">བཀའ་བརྒྱུད། </t>
  </si>
  <si>
    <t>སྤྱི་ལོ་༢༠༠༨ ལོར་དཔལ་སྤུངས་གསུང་རབ་སྤར་སྐྲུན་ཁང་།</t>
  </si>
  <si>
    <t>ཡིག་ཆར་གཟིགས།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</si>
</sst>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q0UU-3h1eHQzZr-GyDm1K1UC5J_7OBm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1.57"/>
    <col customWidth="1" min="3" max="3" width="29.57"/>
    <col customWidth="1" min="6" max="6" width="34.29"/>
    <col customWidth="1" min="7" max="7" width="29.86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1.0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4" t="str">
        <f>HYPERLINK("https://drive.google.com/file/d/1_jPCscjq3_pv5QxVlZMDdXbc0XVsCIbr/view","ཡིག་ཆར་གཟིགས།")</f>
        <v>ཡིག་ཆར་གཟིགས།</v>
      </c>
    </row>
    <row r="5">
      <c r="A5" s="1">
        <v>2.0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4" t="str">
        <f>HYPERLINK("https://drive.google.com/file/d/1SBkmrqCurN5CJ78HvmjkMy-VwZ3zwopb/view","ཡིག་ཆར་གཟིགས།")</f>
        <v>ཡིག་ཆར་གཟིགས།</v>
      </c>
    </row>
    <row r="6">
      <c r="A6" s="1">
        <v>3.0</v>
      </c>
      <c r="B6" s="1" t="s">
        <v>19</v>
      </c>
      <c r="C6" s="1" t="s">
        <v>20</v>
      </c>
      <c r="D6" s="1" t="s">
        <v>21</v>
      </c>
      <c r="E6" s="1" t="s">
        <v>22</v>
      </c>
      <c r="G6" s="4" t="str">
        <f>HYPERLINK("https://drive.google.com/file/d/16qLPubZ03GZCO9WP55bE7lHWaIxZz9kX/view","ཡིག་ཆར་གཟིགས།")</f>
        <v>ཡིག་ཆར་གཟིགས།</v>
      </c>
    </row>
    <row r="7">
      <c r="A7" s="1">
        <v>4.0</v>
      </c>
      <c r="B7" s="1" t="s">
        <v>23</v>
      </c>
      <c r="C7" s="1" t="s">
        <v>24</v>
      </c>
      <c r="D7" s="1" t="s">
        <v>16</v>
      </c>
      <c r="E7" s="1" t="s">
        <v>22</v>
      </c>
      <c r="F7" s="1" t="s">
        <v>25</v>
      </c>
      <c r="G7" s="4" t="str">
        <f>HYPERLINK("https://drive.google.com/file/d/11LgwiNsYrIUIQvk3Qa4IcYr7XKpbz5Hq/view","ཡིག་ཆར་གཟིགས།")</f>
        <v>ཡིག་ཆར་གཟིགས།</v>
      </c>
    </row>
    <row r="8">
      <c r="A8" s="1">
        <v>5.0</v>
      </c>
      <c r="B8" s="1" t="s">
        <v>26</v>
      </c>
      <c r="C8" s="1" t="s">
        <v>27</v>
      </c>
      <c r="D8" s="1" t="s">
        <v>16</v>
      </c>
      <c r="E8" s="1" t="s">
        <v>28</v>
      </c>
      <c r="F8" s="1" t="s">
        <v>29</v>
      </c>
      <c r="G8" s="4" t="str">
        <f>HYPERLINK("https://drive.google.com/file/d/1G7f4CXE64puzIDSWpxP8VAGEsT3wneec/view","ཡིག་ཆར་གཟིགས།")</f>
        <v>ཡིག་ཆར་གཟིགས།</v>
      </c>
    </row>
    <row r="9">
      <c r="A9" s="1">
        <v>6.0</v>
      </c>
      <c r="B9" s="1" t="s">
        <v>30</v>
      </c>
      <c r="C9" s="2" t="s">
        <v>31</v>
      </c>
      <c r="D9" s="1" t="s">
        <v>16</v>
      </c>
      <c r="E9" s="1" t="s">
        <v>22</v>
      </c>
      <c r="F9" s="1" t="s">
        <v>32</v>
      </c>
      <c r="G9" s="4" t="str">
        <f>HYPERLINK("https://drive.google.com/file/d/1QLbzLCx3sFN5QICjWo44etlPbxXrSkDZ/view","ཡིག་ཆར་གཟིགས།")</f>
        <v>ཡིག་ཆར་གཟིགས།</v>
      </c>
    </row>
    <row r="10">
      <c r="A10" s="1">
        <v>7.0</v>
      </c>
      <c r="B10" s="1" t="s">
        <v>47</v>
      </c>
      <c r="C10" s="1" t="s">
        <v>49</v>
      </c>
      <c r="D10" s="1" t="s">
        <v>51</v>
      </c>
      <c r="E10" s="1" t="s">
        <v>22</v>
      </c>
      <c r="F10" s="1" t="s">
        <v>58</v>
      </c>
      <c r="G10" s="4" t="str">
        <f>HYPERLINK("https://drive.google.com/file/d/1dRpVVR78IOvBmTrglmP4Xmp80TNzxh-J/view","ཡིག་ཆར་གཟིགས།")</f>
        <v>ཡིག་ཆར་གཟིགས།</v>
      </c>
    </row>
    <row r="11">
      <c r="A11" s="1">
        <v>8.0</v>
      </c>
      <c r="B11" s="1" t="s">
        <v>73</v>
      </c>
      <c r="C11" s="1" t="s">
        <v>75</v>
      </c>
      <c r="D11" s="1" t="s">
        <v>77</v>
      </c>
      <c r="E11" s="1" t="s">
        <v>80</v>
      </c>
      <c r="F11" s="1" t="s">
        <v>83</v>
      </c>
      <c r="G11" s="4" t="str">
        <f>HYPERLINK("https://drive.google.com/file/d/18dr6JOONq-iz9X2RDApaXDvIjn1jAEI2/view","ཡིག་ཆར་གཟིགས།")</f>
        <v>ཡིག་ཆར་གཟིགས།</v>
      </c>
    </row>
    <row r="12">
      <c r="A12" s="1">
        <v>9.0</v>
      </c>
      <c r="B12" s="1" t="s">
        <v>96</v>
      </c>
      <c r="C12" s="1" t="s">
        <v>99</v>
      </c>
      <c r="D12" s="1" t="s">
        <v>100</v>
      </c>
      <c r="E12" s="1" t="s">
        <v>80</v>
      </c>
      <c r="F12" s="1" t="s">
        <v>101</v>
      </c>
      <c r="G12" s="4" t="str">
        <f>HYPERLINK("https://drive.google.com/file/d/1Y77hYCI0OPEckt97eFwO1FyViKWFeET3/view","ཡིག་ཆར་གཟིགས།")</f>
        <v>ཡིག་ཆར་གཟིགས།</v>
      </c>
    </row>
    <row r="13">
      <c r="A13" s="1">
        <v>10.0</v>
      </c>
      <c r="B13" s="1" t="s">
        <v>102</v>
      </c>
      <c r="C13" s="1" t="s">
        <v>103</v>
      </c>
      <c r="D13" s="1" t="s">
        <v>50</v>
      </c>
      <c r="F13" s="1" t="s">
        <v>104</v>
      </c>
      <c r="G13" s="4" t="str">
        <f>HYPERLINK("https://drive.google.com/file/d/1qMIbL6qG_FxtxOxgDLpa_Qzm6ub31LiX/view","ཡིག་ཆར་གཟིགས།")</f>
        <v>ཡིག་ཆར་གཟིགས།</v>
      </c>
    </row>
    <row r="14">
      <c r="A14" s="1">
        <v>11.0</v>
      </c>
      <c r="B14" s="1" t="s">
        <v>105</v>
      </c>
      <c r="C14" s="1" t="s">
        <v>106</v>
      </c>
      <c r="D14" s="1" t="s">
        <v>107</v>
      </c>
      <c r="F14" s="1" t="s">
        <v>108</v>
      </c>
      <c r="G14" s="4" t="str">
        <f>HYPERLINK("https://drive.google.com/file/d/14H5R3zO7-fiTEoVyZ_rYugLXHR1tFxhl/view","ཡིག་ཆར་གཟིགས།")</f>
        <v>ཡིག་ཆར་གཟིགས།</v>
      </c>
    </row>
    <row r="15">
      <c r="A15" s="1">
        <v>12.0</v>
      </c>
      <c r="B15" s="1" t="s">
        <v>109</v>
      </c>
      <c r="C15" s="1" t="s">
        <v>110</v>
      </c>
      <c r="D15" s="1" t="s">
        <v>111</v>
      </c>
      <c r="E15" s="1" t="s">
        <v>71</v>
      </c>
      <c r="F15" s="1" t="s">
        <v>112</v>
      </c>
      <c r="G15" s="4" t="str">
        <f>HYPERLINK("https://drive.google.com/file/d/1S28FlXGf74un54kaVJDYQNp9dn7zp8xl/view","ཡིག་ཆར་གཟིགས།")</f>
        <v>ཡིག་ཆར་གཟིགས།</v>
      </c>
    </row>
    <row r="16">
      <c r="A16" s="1">
        <v>13.0</v>
      </c>
      <c r="B16" s="1" t="s">
        <v>113</v>
      </c>
      <c r="C16" s="1" t="s">
        <v>114</v>
      </c>
      <c r="D16" s="1" t="s">
        <v>100</v>
      </c>
      <c r="E16" s="1" t="s">
        <v>22</v>
      </c>
      <c r="F16" s="1" t="s">
        <v>115</v>
      </c>
      <c r="G16" s="4" t="str">
        <f>HYPERLINK("https://drive.google.com/file/d/1uJgcslSQigsSKowGSipDOtF2NRceMsoE/view","ཡིག་ཆར་གཟིགས།")</f>
        <v>ཡིག་ཆར་གཟིགས།</v>
      </c>
    </row>
    <row r="17">
      <c r="A17" s="1">
        <v>14.0</v>
      </c>
      <c r="B17" s="1" t="s">
        <v>116</v>
      </c>
      <c r="C17" s="1" t="s">
        <v>117</v>
      </c>
      <c r="D17" s="1" t="s">
        <v>118</v>
      </c>
      <c r="E17" s="1" t="s">
        <v>22</v>
      </c>
      <c r="F17" s="1" t="s">
        <v>119</v>
      </c>
      <c r="G17" s="4" t="str">
        <f>HYPERLINK("https://drive.google.com/file/d/17nWiYjB9VmDisA5ZYX-gjb3Z-Ogo26Dh/view","ཡིག་ཆར་གཟིགས།")</f>
        <v>ཡིག་ཆར་གཟིགས།</v>
      </c>
    </row>
    <row r="18">
      <c r="A18" s="1">
        <v>15.0</v>
      </c>
      <c r="B18" s="1" t="s">
        <v>120</v>
      </c>
      <c r="C18" s="1" t="s">
        <v>121</v>
      </c>
      <c r="D18" s="1" t="s">
        <v>122</v>
      </c>
      <c r="F18" s="1" t="s">
        <v>123</v>
      </c>
      <c r="G18" s="4" t="str">
        <f>HYPERLINK("https://drive.google.com/file/d/1ai3OHBped3c7sPMz-eOXLezXeyeT0xUP/view","ཡིག་ཆར་གཟིགས།")</f>
        <v>ཡིག་ཆར་གཟིགས།</v>
      </c>
    </row>
    <row r="19">
      <c r="A19" s="1">
        <v>16.0</v>
      </c>
      <c r="B19" s="1" t="s">
        <v>124</v>
      </c>
      <c r="C19" s="1" t="s">
        <v>125</v>
      </c>
      <c r="D19" s="1" t="s">
        <v>16</v>
      </c>
      <c r="E19" s="1" t="s">
        <v>126</v>
      </c>
      <c r="F19" s="1" t="s">
        <v>127</v>
      </c>
      <c r="G19" s="4" t="str">
        <f>HYPERLINK("https://drive.google.com/file/d/1xp5aHcMwWAp-2_my6QAG694J0dPg79PB/view","ཡིག་ཆར་གཟིགས།")</f>
        <v>ཡིག་ཆར་གཟིགས།</v>
      </c>
    </row>
    <row r="20">
      <c r="A20" s="1">
        <v>17.0</v>
      </c>
      <c r="B20" s="1" t="s">
        <v>128</v>
      </c>
      <c r="C20" s="1" t="s">
        <v>129</v>
      </c>
      <c r="D20" s="1" t="s">
        <v>111</v>
      </c>
      <c r="E20" s="1" t="s">
        <v>130</v>
      </c>
      <c r="F20" s="1" t="s">
        <v>131</v>
      </c>
      <c r="G20" s="5" t="s">
        <v>132</v>
      </c>
    </row>
    <row r="21">
      <c r="A21" s="1">
        <v>18.0</v>
      </c>
      <c r="B21" s="1"/>
    </row>
  </sheetData>
  <hyperlinks>
    <hyperlink r:id="rId1" ref="G2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39.57"/>
    <col customWidth="1" min="3" max="3" width="33.86"/>
  </cols>
  <sheetData>
    <row r="1">
      <c r="A1" s="1" t="s">
        <v>33</v>
      </c>
    </row>
    <row r="2">
      <c r="A2" s="1" t="s">
        <v>2</v>
      </c>
      <c r="B2" s="1" t="s">
        <v>34</v>
      </c>
      <c r="C2" s="1" t="s">
        <v>4</v>
      </c>
      <c r="D2" s="1" t="s">
        <v>5</v>
      </c>
      <c r="E2" s="1" t="s">
        <v>35</v>
      </c>
      <c r="F2" s="1" t="s">
        <v>36</v>
      </c>
      <c r="G2" s="1" t="s">
        <v>7</v>
      </c>
    </row>
    <row r="3">
      <c r="A3" s="1">
        <v>1.0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</row>
    <row r="4">
      <c r="A4" s="1">
        <v>2.0</v>
      </c>
      <c r="B4" s="1" t="s">
        <v>43</v>
      </c>
      <c r="C4" s="1" t="s">
        <v>27</v>
      </c>
      <c r="D4" s="1" t="s">
        <v>44</v>
      </c>
      <c r="E4" s="1" t="s">
        <v>28</v>
      </c>
      <c r="F4" s="1" t="s">
        <v>45</v>
      </c>
      <c r="G4" s="1" t="s">
        <v>46</v>
      </c>
    </row>
    <row r="5">
      <c r="A5" s="1">
        <v>3.0</v>
      </c>
      <c r="B5" s="1" t="s">
        <v>48</v>
      </c>
      <c r="C5" s="1" t="s">
        <v>27</v>
      </c>
      <c r="D5" s="1" t="s">
        <v>50</v>
      </c>
      <c r="E5" s="1" t="s">
        <v>28</v>
      </c>
      <c r="F5" s="1" t="s">
        <v>52</v>
      </c>
      <c r="G5" s="1" t="s">
        <v>53</v>
      </c>
    </row>
    <row r="6">
      <c r="A6" s="1">
        <v>4.0</v>
      </c>
      <c r="B6" s="1" t="s">
        <v>54</v>
      </c>
      <c r="C6" s="1" t="s">
        <v>55</v>
      </c>
      <c r="D6" s="1" t="s">
        <v>39</v>
      </c>
      <c r="E6" s="1" t="s">
        <v>40</v>
      </c>
      <c r="F6" s="1" t="s">
        <v>56</v>
      </c>
      <c r="G6" s="1" t="s">
        <v>57</v>
      </c>
    </row>
    <row r="7">
      <c r="A7" s="1">
        <v>5.0</v>
      </c>
      <c r="B7" s="1" t="s">
        <v>59</v>
      </c>
      <c r="C7" s="1" t="s">
        <v>60</v>
      </c>
      <c r="D7" s="1" t="s">
        <v>61</v>
      </c>
      <c r="E7" s="1" t="s">
        <v>22</v>
      </c>
      <c r="F7" s="1" t="s">
        <v>62</v>
      </c>
      <c r="G7" s="1" t="s">
        <v>63</v>
      </c>
    </row>
    <row r="8">
      <c r="A8" s="1">
        <v>6.0</v>
      </c>
      <c r="B8" s="1" t="s">
        <v>64</v>
      </c>
      <c r="C8" s="1" t="s">
        <v>65</v>
      </c>
      <c r="D8" s="1" t="s">
        <v>39</v>
      </c>
      <c r="E8" s="1" t="s">
        <v>66</v>
      </c>
      <c r="F8" s="1" t="s">
        <v>67</v>
      </c>
      <c r="G8" s="1" t="s">
        <v>68</v>
      </c>
    </row>
    <row r="9">
      <c r="A9" s="1">
        <v>7.0</v>
      </c>
      <c r="B9" s="1" t="s">
        <v>69</v>
      </c>
      <c r="C9" s="1" t="s">
        <v>70</v>
      </c>
      <c r="D9" s="1" t="s">
        <v>39</v>
      </c>
      <c r="E9" s="1" t="s">
        <v>71</v>
      </c>
      <c r="F9" s="1" t="s">
        <v>72</v>
      </c>
      <c r="G9" s="1" t="s">
        <v>74</v>
      </c>
    </row>
    <row r="10">
      <c r="A10" s="1">
        <v>8.0</v>
      </c>
      <c r="B10" s="1" t="s">
        <v>76</v>
      </c>
      <c r="C10" s="1" t="s">
        <v>78</v>
      </c>
      <c r="D10" s="1" t="s">
        <v>79</v>
      </c>
      <c r="E10" s="1" t="s">
        <v>71</v>
      </c>
      <c r="F10" s="1" t="s">
        <v>81</v>
      </c>
      <c r="G10" s="1" t="s">
        <v>82</v>
      </c>
    </row>
    <row r="11">
      <c r="A11" s="1">
        <v>9.0</v>
      </c>
      <c r="B11" s="1" t="s">
        <v>84</v>
      </c>
      <c r="C11" s="1" t="s">
        <v>85</v>
      </c>
      <c r="D11" s="1" t="s">
        <v>50</v>
      </c>
      <c r="E11" s="1" t="s">
        <v>22</v>
      </c>
      <c r="F11" s="1" t="s">
        <v>86</v>
      </c>
      <c r="G11" s="1" t="s">
        <v>87</v>
      </c>
    </row>
    <row r="12">
      <c r="A12" s="1">
        <v>10.0</v>
      </c>
      <c r="B12" s="1" t="s">
        <v>88</v>
      </c>
      <c r="C12" s="1" t="s">
        <v>89</v>
      </c>
      <c r="D12" s="1" t="s">
        <v>50</v>
      </c>
      <c r="E12" s="1" t="s">
        <v>71</v>
      </c>
      <c r="F12" s="1" t="s">
        <v>90</v>
      </c>
      <c r="G12" s="1" t="s">
        <v>91</v>
      </c>
    </row>
    <row r="13">
      <c r="A13" s="1">
        <v>11.0</v>
      </c>
      <c r="B13" s="1" t="s">
        <v>92</v>
      </c>
      <c r="C13" s="1" t="s">
        <v>93</v>
      </c>
      <c r="D13" s="1" t="s">
        <v>94</v>
      </c>
      <c r="E13" s="1" t="s">
        <v>95</v>
      </c>
      <c r="F13" s="1" t="s">
        <v>97</v>
      </c>
      <c r="G13" s="1" t="s">
        <v>98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2026-07-31T16:26:04Z</dcterms:created>
  <dc:creator>openpyxl</dc:creator>
</cp:coreProperties>
</file>